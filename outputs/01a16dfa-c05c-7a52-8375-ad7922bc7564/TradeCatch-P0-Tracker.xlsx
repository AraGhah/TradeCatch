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b7a98f2b24f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0 tasks" sheetId="1" r:id="R81d4bd98d37548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5364A"/>
      <x:name val="Arial"/>
    </x:font>
    <x:font>
      <x:b/>
      <x:sz val="16"/>
      <x:color rgb="FF25364A"/>
      <x:name val="Arial"/>
    </x:font>
    <x:font>
      <x:i/>
      <x:sz val="11"/>
      <x:color rgb="FF526172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6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b/>
        <x:color rgb="FF835900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4ffa66a2364cdb" /><Relationship Type="http://schemas.openxmlformats.org/officeDocument/2006/relationships/theme" Target="/xl/theme/theme1.xml" Id="R7ae9e1f2d4ee409e" /><Relationship Type="http://schemas.openxmlformats.org/officeDocument/2006/relationships/sharedStrings" Target="/xl/sharedStrings.xml" Id="Rbe3290a5e6c8451f" /><Relationship Type="http://schemas.openxmlformats.org/officeDocument/2006/relationships/worksheet" Target="/xl/worksheets/sheet1.xml" Id="R81d4bd98d37548b6" /></Relationships>
</file>

<file path=xl/tables/table1.xml><?xml version="1.0" encoding="utf-8"?>
<x:table xmlns:x="http://schemas.openxmlformats.org/spreadsheetml/2006/main" id="1" name="P0Tasks" displayName="P0Tasks" ref="A7:G23" headerRowCount="1" totalsRowCount="0" totalsRowShown="0">
  <x:tableColumns count="7">
    <x:tableColumn id="1" name="ID"/>
    <x:tableColumn id="2" name="Task"/>
    <x:tableColumn id="3" name="Status"/>
    <x:tableColumn id="4" name="Completed work"/>
    <x:tableColumn id="5" name="Remaining action"/>
    <x:tableColumn id="6" name="Validation"/>
    <x:tableColumn id="7" name="Comm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9e3f5deef54665" /></Relationships>
</file>

<file path=xl/worksheets/sheet1.xml><?xml version="1.0" encoding="utf-8"?>
<x:worksheet xmlns:x="http://schemas.openxmlformats.org/spreadsheetml/2006/main">
  <x:sheetPr>
    <x:tabColor rgb="FF25364A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0.630000114440918" hidden="0" customWidth="1"/>
    <x:col min="2" max="2" width="28.1299991607666" hidden="0" customWidth="1"/>
    <x:col min="3" max="3" width="13.75" hidden="0" customWidth="1"/>
    <x:col min="4" max="4" width="42.5" hidden="0" customWidth="1"/>
    <x:col min="5" max="5" width="43.130001068115234" hidden="0" customWidth="1"/>
    <x:col min="6" max="6" width="33.75" hidden="0" customWidth="1"/>
    <x:col min="7" max="7" width="18.1299991607666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TradeCatch — P0 and P1 task tracker</x:v>
      </x:c>
      <x:c r="B2" s="1"/>
      <x:c r="C2" s="1"/>
      <x:c r="D2" s="1"/>
      <x:c r="E2" s="1"/>
      <x:c r="F2" s="1"/>
      <x:c r="G2" s="1"/>
    </x:row>
    <x:row r="3">
      <x:c r="A3" s="3" t="str">
        <x:v>October 24, 2026. Completion covers repository work and stated checks; production deployment is not claimed.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>
      <x:c r="A5" s="1" t="str">
        <x:v>Completed</x:v>
      </x:c>
      <x:c r="B5" s="8" t="n">
        <x:f>COUNTIF(C8:C23,"Completed")</x:f>
        <x:v>14</x:v>
      </x:c>
      <x:c r="C5" s="1" t="str">
        <x:v>Partial</x:v>
      </x:c>
      <x:c r="D5" s="8" t="n">
        <x:f>COUNTIF(C8:C23,"Partial")</x:f>
        <x:v>2</x:v>
      </x:c>
      <x:c r="E5" s="1" t="str">
        <x:v>Task commits</x:v>
      </x:c>
      <x:c r="F5" s="8" t="n">
        <x:v>16</x:v>
      </x:c>
      <x:c r="G5" s="1"/>
    </x:row>
    <x:row r="6">
      <x:c r="A6" s="1"/>
      <x:c r="B6" s="1"/>
      <x:c r="C6" s="1"/>
      <x:c r="D6" s="1"/>
      <x:c r="E6" s="1"/>
      <x:c r="F6" s="1"/>
      <x:c r="G6" s="1"/>
    </x:row>
    <x:row r="7" ht="30" customHeight="1">
      <x:c r="A7" s="5" t="str">
        <x:v>ID</x:v>
      </x:c>
      <x:c r="B7" s="5" t="str">
        <x:v>Task</x:v>
      </x:c>
      <x:c r="C7" s="5" t="str">
        <x:v>Status</x:v>
      </x:c>
      <x:c r="D7" s="5" t="str">
        <x:v>Completed work</x:v>
      </x:c>
      <x:c r="E7" s="5" t="str">
        <x:v>Remaining action</x:v>
      </x:c>
      <x:c r="F7" s="5" t="str">
        <x:v>Validation</x:v>
      </x:c>
      <x:c r="G7" s="5" t="str">
        <x:v>Commit</x:v>
      </x:c>
    </x:row>
    <x:row r="8" ht="66" customHeight="1">
      <x:c r="A8" s="7" t="str">
        <x:v>TC-001</x:v>
      </x:c>
      <x:c r="B8" s="7" t="str">
        <x:v>Prevent lost leads</x:v>
      </x:c>
      <x:c r="C8" s="7" t="str">
        <x:v>Completed</x:v>
      </x:c>
      <x:c r="D8" s="7" t="str">
        <x:v>Verified durable PostgreSQL acceptance and failed-save rejection.</x:v>
      </x:c>
      <x:c r="E8" s="7" t="str">
        <x:v>No code change needed.</x:v>
      </x:c>
      <x:c r="F8" s="7" t="str">
        <x:v>23 focused checks passed.</x:v>
      </x:c>
      <x:c r="G8" s="7" t="str">
        <x:v>3d6a174</x:v>
      </x:c>
    </x:row>
    <x:row r="9" ht="66" customHeight="1">
      <x:c r="A9" s="7" t="str">
        <x:v>TC-002</x:v>
      </x:c>
      <x:c r="B9" s="7" t="str">
        <x:v>Handle failed lead notifications</x:v>
      </x:c>
      <x:c r="C9" s="7" t="str">
        <x:v>Completed</x:v>
      </x:c>
      <x:c r="D9" s="7" t="str">
        <x:v>Verified atomic lead/outbox save and independent delivery retries.</x:v>
      </x:c>
      <x:c r="E9" s="7" t="str">
        <x:v>No code change needed.</x:v>
      </x:c>
      <x:c r="F9" s="7" t="str">
        <x:v>32 booking checks passed with PostgreSQL.</x:v>
      </x:c>
      <x:c r="G9" s="7" t="str">
        <x:v>617d02f</x:v>
      </x:c>
    </x:row>
    <x:row r="10" ht="66" customHeight="1">
      <x:c r="A10" s="7" t="str">
        <x:v>TC-003</x:v>
      </x:c>
      <x:c r="B10" s="7" t="str">
        <x:v>Recover stuck booking deliveries</x:v>
      </x:c>
      <x:c r="C10" s="7" t="str">
        <x:v>Completed</x:v>
      </x:c>
      <x:c r="D10" s="7" t="str">
        <x:v>Verified expiring leases, concurrent claims and stale-worker fencing.</x:v>
      </x:c>
      <x:c r="E10" s="7" t="str">
        <x:v>No code change needed.</x:v>
      </x:c>
      <x:c r="F10" s="7" t="str">
        <x:v>Covered by the PostgreSQL booking suite.</x:v>
      </x:c>
      <x:c r="G10" s="7" t="str">
        <x:v>6ff075c</x:v>
      </x:c>
    </x:row>
    <x:row r="11" ht="66" customHeight="1">
      <x:c r="A11" s="7" t="str">
        <x:v>TC-004</x:v>
      </x:c>
      <x:c r="B11" s="7" t="str">
        <x:v>Correct notification phone routing</x:v>
      </x:c>
      <x:c r="C11" s="7" t="str">
        <x:v>Completed</x:v>
      </x:c>
      <x:c r="D11" s="7" t="str">
        <x:v>Every employee SMS uses their verified personal number. Revoked or legacy wrong-number sends are canceled.</x:v>
      </x:c>
      <x:c r="E11" s="7" t="str">
        <x:v>Deploy and observe production SMS through the normal release workflow.</x:v>
      </x:c>
      <x:c r="F11" s="7" t="str">
        <x:v>107 affected checks passed, including PostgreSQL; build and lint passed.</x:v>
      </x:c>
      <x:c r="G11" s="7" t="str">
        <x:v>56ce0b7</x:v>
      </x:c>
    </x:row>
    <x:row r="12" ht="66" customHeight="1">
      <x:c r="A12" s="7" t="str">
        <x:v>TC-005</x:v>
      </x:c>
      <x:c r="B12" s="7" t="str">
        <x:v>Fix backup escalation skipping</x:v>
      </x:c>
      <x:c r="C12" s="7" t="str">
        <x:v>Completed</x:v>
      </x:c>
      <x:c r="D12" s="7" t="str">
        <x:v>Existing backup recipients now escalate. Read state is preserved; retries are spaced, bounded and deduplicated.</x:v>
      </x:c>
      <x:c r="E12" s="7" t="str">
        <x:v>Deploy through the normal release workflow.</x:v>
      </x:c>
      <x:c r="F12" s="7" t="str">
        <x:v>Memory/PostgreSQL concurrency and acknowledgment checks passed.</x:v>
      </x:c>
      <x:c r="G12" s="7" t="str">
        <x:v>3e345a1</x:v>
      </x:c>
    </x:row>
    <x:row r="13" ht="66" customHeight="1">
      <x:c r="A13" s="7" t="str">
        <x:v>TC-006</x:v>
      </x:c>
      <x:c r="B13" s="7" t="str">
        <x:v>Correct escalation delivery status</x:v>
      </x:c>
      <x:c r="C13" s="7" t="str">
        <x:v>Completed</x:v>
      </x:c>
      <x:c r="D13" s="7" t="str">
        <x:v>Delivery records distinguish queued, submitted, confirmed, failed, canceled and simulated outcomes.</x:v>
      </x:c>
      <x:c r="E13" s="7" t="str">
        <x:v>Email stays submitted until delivery confirmation is supported. Deploy the fix.</x:v>
      </x:c>
      <x:c r="F13" s="7" t="str">
        <x:v>8 escalation checks passed; full unit suite 845 passed, 2 skipped. Build/lint passed.</x:v>
      </x:c>
      <x:c r="G13" s="7" t="str">
        <x:v>9856932</x:v>
      </x:c>
    </x:row>
    <x:row r="14" ht="66" customHeight="1">
      <x:c r="A14" s="7" t="str">
        <x:v>TC-007</x:v>
      </x:c>
      <x:c r="B14" s="7" t="str">
        <x:v>Verify Supabase production security</x:v>
      </x:c>
      <x:c r="C14" s="7" t="str">
        <x:v>Partial</x:v>
      </x:c>
      <x:c r="D14" s="7" t="str">
        <x:v>Reviewed 29 SaaS files and live database metadata. All 112 tables have RLS; no policies. No confirmed scoped vulnerability.</x:v>
      </x:c>
      <x:c r="E14" s="7" t="str">
        <x:v>Dashboard checks deferred by owner. Review redundant grants on 107 tables, creator defaults and installation lockdown.</x:v>
      </x:c>
      <x:c r="F14" s="7" t="str">
        <x:v>Independent security review plus read-only production metadata.</x:v>
      </x:c>
      <x:c r="G14" s="7" t="str">
        <x:v>a5b3562</x:v>
      </x:c>
    </x:row>
    <x:row r="15" ht="66" customHeight="1">
      <x:c r="A15" s="7" t="str">
        <x:v>TC-008</x:v>
      </x:c>
      <x:c r="B15" s="7" t="str">
        <x:v>Verify database backups</x:v>
      </x:c>
      <x:c r="C15" s="7" t="str">
        <x:v>Partial</x:v>
      </x:c>
      <x:c r="D15" s="7" t="str">
        <x:v>Created approved production backup; added snapshot-bound restore evidence and indefinite portable retention.</x:v>
      </x:c>
      <x:c r="E15" s="7" t="str">
        <x:v>Supabase-managed retention and Data API dashboard checks deferred. Configure encrypted off-host storage and scheduled backups.</x:v>
      </x:c>
      <x:c r="F15" s="7" t="str">
        <x:v>Production restore matched 112 tables and 3,122 rows. Six backup/safety tests passed. Final build passed.</x:v>
      </x:c>
      <x:c r="G15" s="7" t="str">
        <x:v>9191425</x:v>
      </x:c>
    </x:row>
    <x:row r="16" ht="66" customHeight="1">
      <x:c r="A16" s="7" t="str">
        <x:v>P0 extra</x:v>
      </x:c>
      <x:c r="B16" s="7" t="str">
        <x:v>Prevent duplicate callback queue collisions</x:v>
      </x:c>
      <x:c r="C16" s="7" t="str">
        <x:v>Completed</x:v>
      </x:c>
      <x:c r="D16" s="7" t="str">
        <x:v>Concurrent duplicate callback inserts now honor every unique key without resetting completed deliveries.</x:v>
      </x:c>
      <x:c r="E16" s="7" t="str">
        <x:v>Deploy through the normal release workflow.</x:v>
      </x:c>
      <x:c r="F16" s="7" t="str">
        <x:v>42 focused memory/PostgreSQL checks passed; changed-file lint passed.</x:v>
      </x:c>
      <x:c r="G16" s="7" t="str">
        <x:v>eaaa54a</x:v>
      </x:c>
    </x:row>
    <x:row r="17" ht="66" customHeight="1">
      <x:c r="A17" s="7" t="str">
        <x:v>TC-009</x:v>
      </x:c>
      <x:c r="B17" s="7" t="str">
        <x:v>Synchronize Stripe subscriptions</x:v>
      </x:c>
      <x:c r="C17" s="7" t="str">
        <x:v>Completed</x:v>
      </x:c>
      <x:c r="D17" s="7" t="str">
        <x:v>Verified plan/access reconciliation, durable receipts, retries and current-state handling. Added event and pagination coverage.</x:v>
      </x:c>
      <x:c r="E17" s="7" t="str">
        <x:v>Verify live webhook registration and price/key settings during release.</x:v>
      </x:c>
      <x:c r="F17" s="7" t="str">
        <x:v>33 billing checks passed with PostgreSQL; no skips.</x:v>
      </x:c>
      <x:c r="G17" s="7" t="str">
        <x:v>3a7f959</x:v>
      </x:c>
    </x:row>
    <x:row r="18" ht="66" customHeight="1">
      <x:c r="A18" s="7" t="str">
        <x:v>TC-010</x:v>
      </x:c>
      <x:c r="B18" s="7" t="str">
        <x:v>Create secure billing portal sessions</x:v>
      </x:c>
      <x:c r="C18" s="7" t="str">
        <x:v>Completed</x:v>
      </x:c>
      <x:c r="D18" s="7" t="str">
        <x:v>Verified fresh organization-specific sessions, owner/admin access, fixed return origins and fail-closed behavior.</x:v>
      </x:c>
      <x:c r="E18" s="7" t="str">
        <x:v>Verify live portal settings and a real Stripe session during release.</x:v>
      </x:c>
      <x:c r="F18" s="7" t="str">
        <x:v>13 portal checks passed; no skips. Changed-test lint passed.</x:v>
      </x:c>
      <x:c r="G18" s="7" t="str">
        <x:v>c78690b</x:v>
      </x:c>
    </x:row>
    <x:row r="19" ht="66" customHeight="1">
      <x:c r="A19" s="7" t="str">
        <x:v>TC-011</x:v>
      </x:c>
      <x:c r="B19" s="7" t="str">
        <x:v>Recover failed SMS notifications</x:v>
      </x:c>
      <x:c r="C19" s="7" t="str">
        <x:v>Completed</x:v>
      </x:c>
      <x:c r="D19" s="7" t="str">
        <x:v>Verified final-failure retries and fallback. Added recipient email permission checks before queueing and sending.</x:v>
      </x:c>
      <x:c r="E19" s="7" t="str">
        <x:v>Deploy and verify live Twilio callbacks and delivery.</x:v>
      </x:c>
      <x:c r="F19" s="7" t="str">
        <x:v>Final recovery/outage checks: 70 passes with PostgreSQL, no skips.</x:v>
      </x:c>
      <x:c r="G19" s="7" t="str">
        <x:v>bb4b622</x:v>
      </x:c>
    </x:row>
    <x:row r="20" ht="66" customHeight="1">
      <x:c r="A20" s="7" t="str">
        <x:v>TC-012</x:v>
      </x:c>
      <x:c r="B20" s="7" t="str">
        <x:v>Prevent notifications from being dropped</x:v>
      </x:c>
      <x:c r="C20" s="7" t="str">
        <x:v>Completed</x:v>
      </x:c>
      <x:c r="D20" s="7" t="str">
        <x:v>Verified durable overflow queues, urgent ordering, critical reserve and eventual draining.</x:v>
      </x:c>
      <x:c r="E20" s="7" t="str">
        <x:v>Verify production scheduler/provider operation during release.</x:v>
      </x:c>
      <x:c r="F20" s="7" t="str">
        <x:v>Covered by the 79-check PostgreSQL run.</x:v>
      </x:c>
      <x:c r="G20" s="7" t="str">
        <x:v>2270252</x:v>
      </x:c>
    </x:row>
    <x:row r="21" ht="66" customHeight="1">
      <x:c r="A21" s="7" t="str">
        <x:v>TC-013</x:v>
      </x:c>
      <x:c r="B21" s="7" t="str">
        <x:v>Complete daily summaries</x:v>
      </x:c>
      <x:c r="C21" s="7" t="str">
        <x:v>Completed</x:v>
      </x:c>
      <x:c r="D21" s="7" t="str">
        <x:v>Added personal timezone settings for summaries and quiet hours. Rechecks summary opt-outs before dispatch.</x:v>
      </x:c>
      <x:c r="E21" s="7" t="str">
        <x:v>Deploy; verify live scheduler and provider delivery.</x:v>
      </x:c>
      <x:c r="F21" s="7" t="str">
        <x:v>34 summary/localization checks passed. Added English/French browser coverage.</x:v>
      </x:c>
      <x:c r="G21" s="7" t="str">
        <x:v>270e41b</x:v>
      </x:c>
    </x:row>
    <x:row r="22" ht="66" customHeight="1">
      <x:c r="A22" s="7" t="str">
        <x:v>TC-014</x:v>
      </x:c>
      <x:c r="B22" s="7" t="str">
        <x:v>Detect receptionist outages</x:v>
      </x:c>
      <x:c r="C22" s="7" t="str">
        <x:v>Completed</x:v>
      </x:c>
      <x:c r="D22" s="7" t="str">
        <x:v>Verified outage detection and owner/admin alerts. Delayed sends now recheck enabled external channels.</x:v>
      </x:c>
      <x:c r="E22" s="7" t="str">
        <x:v>Deploy and verify live provider availability and alerts.</x:v>
      </x:c>
      <x:c r="F22" s="7" t="str">
        <x:v>26 outage checks passed with PostgreSQL, no skips.</x:v>
      </x:c>
      <x:c r="G22" s="7" t="str">
        <x:v>35bd86b</x:v>
      </x:c>
    </x:row>
    <x:row r="23" ht="66" customHeight="1">
      <x:c r="A23" s="7" t="str">
        <x:v>TC-015</x:v>
      </x:c>
      <x:c r="B23" s="7" t="str">
        <x:v>Make notification quotas reliable</x:v>
      </x:c>
      <x:c r="C23" s="7" t="str">
        <x:v>Completed</x:v>
      </x:c>
      <x:c r="D23" s="7" t="str">
        <x:v>Verified atomic shared reservations, tenant isolation, bounded dispatches and deferred overflow.</x:v>
      </x:c>
      <x:c r="E23" s="7" t="str">
        <x:v>Verify operational throughput after release.</x:v>
      </x:c>
      <x:c r="F23" s="7" t="str">
        <x:v>15 dedicated quota checks passed with PostgreSQL, no skips.</x:v>
      </x:c>
      <x:c r="G23" s="7" t="str">
        <x:v>TC-015 task commit</x:v>
      </x:c>
    </x:row>
    <x:row r="24">
      <x:c r="A24" s="1"/>
      <x:c r="B24" s="1"/>
      <x:c r="C24" s="1"/>
      <x:c r="D24" s="1"/>
      <x:c r="E24" s="1"/>
      <x:c r="F24" s="1"/>
      <x:c r="G24" s="1"/>
    </x:row>
    <x:row r="25">
      <x:c r="A25" s="1" t="str">
        <x:v>Source: docs/p0-2026-10-24/TC-001.md through TC-009.md; docs/p1-2026-10-24/TC-009.md through TC-015.md; repository commits, and recorded local validation outputs.</x:v>
      </x:c>
      <x:c r="B25" s="1"/>
      <x:c r="C25" s="1"/>
      <x:c r="D25" s="1"/>
      <x:c r="E25" s="1"/>
      <x:c r="F25" s="1"/>
      <x:c r="G25" s="1"/>
    </x:row>
    <x:row r="26">
      <x:c r="A26" s="1" t="str">
        <x:v>Backup retention preference: as long as possible. Portable copies have no automatic deletion. Managed Supabase retention remains unverified.</x:v>
      </x:c>
      <x:c r="B26" s="1"/>
      <x:c r="C26" s="1"/>
      <x:c r="D26" s="1"/>
      <x:c r="E26" s="1"/>
      <x:c r="F26" s="1"/>
      <x:c r="G26" s="1"/>
    </x:row>
    <x:row r="27">
      <x:c r="A27" s="1"/>
      <x:c r="B27" s="1"/>
      <x:c r="C27" s="1"/>
      <x:c r="D27" s="1"/>
      <x:c r="E27" s="1"/>
      <x:c r="F27" s="1"/>
      <x:c r="G27" s="1"/>
    </x:row>
  </x:sheetData>
  <x:mergeCells>
    <x:mergeCell ref="A2:G2"/>
    <x:mergeCell ref="A3:G3"/>
    <x:mergeCell ref="A25:G25"/>
    <x:mergeCell ref="A26:G26"/>
  </x:mergeCells>
  <x:conditionalFormatting sqref="C8:C23">
    <x:cfRule type="containsText" dxfId="0" priority="1" operator="containsText" text="Partial"/>
  </x:conditionalFormatting>
  <x:dataValidations count="1">
    <x:dataValidation type="list" sqref="C8:C23">
      <x:formula1>"Completed,Partial,Open"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9e3f5deef54665"/>
  </x:tableParts>
</x:worksheet>
</file>